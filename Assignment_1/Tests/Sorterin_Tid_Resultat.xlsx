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xr:revisionPtr revIDLastSave="87" documentId="11_0B1D56BE9CDCCE836B02CE7A5FB0D4A9BBFD1C62" xr6:coauthVersionLast="47" xr6:coauthVersionMax="47" xr10:uidLastSave="{BAD35F95-F7C7-4B27-BC47-535C14CC8B4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J8" i="1"/>
  <c r="H8" i="1"/>
  <c r="I7" i="1"/>
  <c r="J7" i="1"/>
  <c r="H7" i="1"/>
  <c r="I3" i="1"/>
  <c r="J3" i="1"/>
  <c r="H3" i="1"/>
  <c r="J2" i="1"/>
  <c r="I2" i="1"/>
  <c r="H2" i="1"/>
  <c r="C9" i="1"/>
  <c r="D9" i="1"/>
  <c r="B9" i="1"/>
  <c r="C8" i="1"/>
  <c r="D8" i="1"/>
  <c r="B8" i="1"/>
</calcChain>
</file>

<file path=xl/sharedStrings.xml><?xml version="1.0" encoding="utf-8"?>
<sst xmlns="http://schemas.openxmlformats.org/spreadsheetml/2006/main" count="28" uniqueCount="11">
  <si>
    <t>Test</t>
  </si>
  <si>
    <t>Int_sorted</t>
  </si>
  <si>
    <t>Selection_Sort</t>
  </si>
  <si>
    <t>Algorithm_Sort</t>
  </si>
  <si>
    <t>Medel</t>
  </si>
  <si>
    <t>Tidsenhet</t>
  </si>
  <si>
    <t>Int_Sorted</t>
  </si>
  <si>
    <t>ms</t>
  </si>
  <si>
    <t>sekunder</t>
  </si>
  <si>
    <t>minuter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</si>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</sst>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F18" sqref="F18"/>
    </sheetView>
  </sheetViews>
  <sheetFormatPr defaultRowHeight="15"/>
  <cols>
    <col min="2" max="2" width="9.42578125" bestFit="1" customWidth="1"/>
    <col min="3" max="3" width="13.28515625" bestFit="1" customWidth="1"/>
    <col min="4" max="4" width="13.42578125" bestFit="1" customWidth="1"/>
    <col min="8" max="8" width="13.85546875" customWidth="1"/>
    <col min="9" max="9" width="17.42578125" bestFit="1" customWidth="1"/>
    <col min="10" max="10" width="13.42578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2" t="s">
        <v>6</v>
      </c>
      <c r="I1" s="3" t="s">
        <v>2</v>
      </c>
      <c r="J1" s="4" t="s">
        <v>3</v>
      </c>
    </row>
    <row r="2" spans="1:10">
      <c r="A2" s="1">
        <v>1</v>
      </c>
      <c r="B2" s="1">
        <v>233.07499999999999</v>
      </c>
      <c r="C2" s="1">
        <v>174602</v>
      </c>
      <c r="D2" s="1">
        <v>79.767200000000003</v>
      </c>
      <c r="E2" s="1" t="s">
        <v>7</v>
      </c>
      <c r="F2" s="1"/>
      <c r="G2" s="1" t="s">
        <v>8</v>
      </c>
      <c r="H2" s="5">
        <f>ROUND(B8/1000, 3)</f>
        <v>0.23</v>
      </c>
      <c r="I2" s="6">
        <f>ROUND(C8/1000, 3)</f>
        <v>174.578</v>
      </c>
      <c r="J2" s="7">
        <f>ROUND(D8/1000, 3)</f>
        <v>7.8E-2</v>
      </c>
    </row>
    <row r="3" spans="1:10">
      <c r="A3" s="1">
        <v>2</v>
      </c>
      <c r="B3" s="1">
        <v>247.82400000000001</v>
      </c>
      <c r="C3" s="1">
        <v>174689</v>
      </c>
      <c r="D3" s="1">
        <v>76.107200000000006</v>
      </c>
      <c r="E3" s="1" t="s">
        <v>7</v>
      </c>
      <c r="F3" s="1"/>
      <c r="G3" s="1" t="s">
        <v>9</v>
      </c>
      <c r="H3" s="5">
        <f>ROUND(B8/60000, 3)</f>
        <v>4.0000000000000001E-3</v>
      </c>
      <c r="I3" s="6">
        <f t="shared" ref="I3:J3" si="0">ROUND(C8/60000, 3)</f>
        <v>2.91</v>
      </c>
      <c r="J3" s="7">
        <f t="shared" si="0"/>
        <v>1E-3</v>
      </c>
    </row>
    <row r="4" spans="1:10">
      <c r="A4" s="1">
        <v>3</v>
      </c>
      <c r="B4" s="1">
        <v>224.47300000000001</v>
      </c>
      <c r="C4" s="1">
        <v>174118</v>
      </c>
      <c r="D4" s="1">
        <v>80.240099999999998</v>
      </c>
      <c r="E4" s="1" t="s">
        <v>7</v>
      </c>
      <c r="F4" s="1"/>
      <c r="G4" s="1"/>
      <c r="H4" s="5"/>
      <c r="I4" s="6"/>
      <c r="J4" s="7"/>
    </row>
    <row r="5" spans="1:10">
      <c r="A5" s="1">
        <v>4</v>
      </c>
      <c r="B5" s="1">
        <v>225.72</v>
      </c>
      <c r="C5" s="1">
        <v>173658</v>
      </c>
      <c r="D5" s="1">
        <v>78.305899999999994</v>
      </c>
      <c r="E5" s="1" t="s">
        <v>7</v>
      </c>
      <c r="F5" s="1"/>
      <c r="G5" s="1"/>
      <c r="H5" s="5"/>
      <c r="I5" s="6"/>
      <c r="J5" s="7"/>
    </row>
    <row r="6" spans="1:10">
      <c r="A6" s="1">
        <v>5</v>
      </c>
      <c r="B6" s="1">
        <v>227.91</v>
      </c>
      <c r="C6" s="1">
        <v>175469</v>
      </c>
      <c r="D6" s="1">
        <v>78.772999999999996</v>
      </c>
      <c r="E6" s="1" t="s">
        <v>7</v>
      </c>
      <c r="F6" s="1" t="s">
        <v>10</v>
      </c>
      <c r="G6" s="1" t="s">
        <v>5</v>
      </c>
      <c r="H6" s="5" t="s">
        <v>6</v>
      </c>
      <c r="I6" s="6" t="s">
        <v>2</v>
      </c>
      <c r="J6" s="7" t="s">
        <v>3</v>
      </c>
    </row>
    <row r="7" spans="1:10">
      <c r="A7" s="1">
        <v>6</v>
      </c>
      <c r="B7" s="1">
        <v>220.285</v>
      </c>
      <c r="C7" s="1">
        <v>174930</v>
      </c>
      <c r="D7" s="1">
        <v>76.415599999999998</v>
      </c>
      <c r="E7" s="1" t="s">
        <v>7</v>
      </c>
      <c r="F7" s="1"/>
      <c r="G7" s="1" t="s">
        <v>8</v>
      </c>
      <c r="H7" s="5">
        <f>ROUND(B9/1000, 3)</f>
        <v>0.22700000000000001</v>
      </c>
      <c r="I7" s="6">
        <f t="shared" ref="I7:J7" si="1">ROUND(C9/1000, 3)</f>
        <v>174.64599999999999</v>
      </c>
      <c r="J7" s="7">
        <f t="shared" si="1"/>
        <v>7.9000000000000001E-2</v>
      </c>
    </row>
    <row r="8" spans="1:10">
      <c r="A8" s="1" t="s">
        <v>4</v>
      </c>
      <c r="B8" s="2">
        <f>AVERAGE(B2:B7)</f>
        <v>229.8811666666667</v>
      </c>
      <c r="C8" s="3">
        <f t="shared" ref="C8:D8" si="2">AVERAGE(C2:C7)</f>
        <v>174577.66666666666</v>
      </c>
      <c r="D8" s="4">
        <f t="shared" si="2"/>
        <v>78.268166666666659</v>
      </c>
      <c r="E8" s="1" t="s">
        <v>7</v>
      </c>
      <c r="F8" s="1"/>
      <c r="G8" s="1" t="s">
        <v>9</v>
      </c>
      <c r="H8" s="8">
        <f>ROUND(B9/60000, 3)</f>
        <v>4.0000000000000001E-3</v>
      </c>
      <c r="I8" s="9">
        <f t="shared" ref="I8:J8" si="3">ROUND(C9/60000, 3)</f>
        <v>2.911</v>
      </c>
      <c r="J8" s="10">
        <f t="shared" si="3"/>
        <v>1E-3</v>
      </c>
    </row>
    <row r="9" spans="1:10">
      <c r="A9" s="1" t="s">
        <v>10</v>
      </c>
      <c r="B9" s="8">
        <f>MEDIAN(B2:B7)</f>
        <v>226.815</v>
      </c>
      <c r="C9" s="9">
        <f t="shared" ref="C9:D9" si="4">MEDIAN(C2:C7)</f>
        <v>174645.5</v>
      </c>
      <c r="D9" s="10">
        <f t="shared" si="4"/>
        <v>78.539449999999988</v>
      </c>
      <c r="E9" s="1" t="s">
        <v>7</v>
      </c>
      <c r="F9" s="1"/>
      <c r="G9" s="1"/>
      <c r="H9" s="1"/>
      <c r="I9" s="1"/>
      <c r="J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Hultberg</cp:lastModifiedBy>
  <cp:revision/>
  <dcterms:created xsi:type="dcterms:W3CDTF">2025-09-18T14:55:47Z</dcterms:created>
  <dcterms:modified xsi:type="dcterms:W3CDTF">2025-09-18T15:10:53Z</dcterms:modified>
  <cp:category/>
  <cp:contentStatus/>
</cp:coreProperties>
</file>